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anielarodrigues/Downloads/"/>
    </mc:Choice>
  </mc:AlternateContent>
  <xr:revisionPtr revIDLastSave="0" documentId="8_{6D23A163-878B-2D45-9272-081598C64A2A}" xr6:coauthVersionLast="47" xr6:coauthVersionMax="47" xr10:uidLastSave="{00000000-0000-0000-0000-000000000000}"/>
  <bookViews>
    <workbookView xWindow="0" yWindow="600" windowWidth="50780" windowHeight="26980" tabRatio="500" activeTab="1" xr2:uid="{00000000-000D-0000-FFFF-FFFF00000000}"/>
  </bookViews>
  <sheets>
    <sheet name="Resumo" sheetId="1" r:id="rId1"/>
    <sheet name="Casos de teste" sheetId="2" r:id="rId2"/>
    <sheet name="Casos eliminados" sheetId="3" r:id="rId3"/>
    <sheet name="Suposições e dúvidas" sheetId="4" r:id="rId4"/>
  </sheets>
  <definedNames>
    <definedName name="_xlnm._FilterDatabase" localSheetId="1" hidden="1">'Casos de teste'!$A$1:$I$9</definedName>
    <definedName name="_xlnm._FilterDatabase" localSheetId="2" hidden="1">'Casos eliminados'!$A$1:$F$4</definedName>
    <definedName name="_xlnm._FilterDatabase" localSheetId="3" hidden="1">'Suposições e dúvidas'!$A$1:$F$18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 s="1"/>
</calcChain>
</file>

<file path=xl/sharedStrings.xml><?xml version="1.0" encoding="utf-8"?>
<sst xmlns="http://schemas.openxmlformats.org/spreadsheetml/2006/main" count="224" uniqueCount="142">
  <si>
    <t>Cadastro BugBank - Resumo da suíte de testes</t>
  </si>
  <si>
    <t>Indicador</t>
  </si>
  <si>
    <t>Valor</t>
  </si>
  <si>
    <t>Casos originais</t>
  </si>
  <si>
    <t>Casos mantidos</t>
  </si>
  <si>
    <t>Casos eliminados</t>
  </si>
  <si>
    <t>Positivos (mantidos)</t>
  </si>
  <si>
    <t>Negativos (mantidos)</t>
  </si>
  <si>
    <t>Limite (mantidos)</t>
  </si>
  <si>
    <t>Prioridade alta (mantidos)</t>
  </si>
  <si>
    <t>Dúvidas em aberto para o produto</t>
  </si>
  <si>
    <t>Casos executados e aprovados</t>
  </si>
  <si>
    <t>Casos com falha</t>
  </si>
  <si>
    <t>Os casos eliminados não foram descartados para sempre: cada um tem uma dúvida de produto associada. Veja a aba "Casos eliminados".</t>
  </si>
  <si>
    <t>ID</t>
  </si>
  <si>
    <t>Cenário</t>
  </si>
  <si>
    <t>Pré-condição</t>
  </si>
  <si>
    <t>Passos</t>
  </si>
  <si>
    <t>Resultado esperado</t>
  </si>
  <si>
    <t>Tipo</t>
  </si>
  <si>
    <t>Prioridade</t>
  </si>
  <si>
    <t>Status de execução</t>
  </si>
  <si>
    <t>Observações</t>
  </si>
  <si>
    <t>CT01</t>
  </si>
  <si>
    <t>Cadastro com sucesso com a opção "Criar conta com saldo" ativa</t>
  </si>
  <si>
    <t>Estar na tela de cadastro; e-mail ainda não utilizado</t>
  </si>
  <si>
    <t>1) Preencher Nome "Maria Silva"; 2) Preencher Email "maria.teste01@email.com"; 3) Preencher Senha "Senha@123"; 4) Preencher Confirmação de senha "Senha@123"; 5) Ativar "Criar conta com saldo"; 6) Clicar em Cadastrar</t>
  </si>
  <si>
    <t>Conta criada com sucesso, com o número da conta exibido e saldo de R$ 1.000,00</t>
  </si>
  <si>
    <t>Positivo</t>
  </si>
  <si>
    <t>Alta</t>
  </si>
  <si>
    <t>CT02</t>
  </si>
  <si>
    <t>Cadastro com sucesso com a opção "Criar conta com saldo" inativa</t>
  </si>
  <si>
    <t>1) Preencher Nome, Email, Senha e Confirmação de senha com dados válidos e iguais; 2) Manter "Criar conta com saldo" inativa; 3) Clicar em Cadastrar</t>
  </si>
  <si>
    <t>Conta criada com sucesso, com o número da conta exibido e saldo de R$ 0,00</t>
  </si>
  <si>
    <t>CT03</t>
  </si>
  <si>
    <t>Cadastro sem preencher Nome</t>
  </si>
  <si>
    <t>Estar na tela de cadastro</t>
  </si>
  <si>
    <t>1) Deixar Nome vazio; 2) Preencher Email, Senha e Confirmação de senha com dados válidos; 3) Clicar em Cadastrar</t>
  </si>
  <si>
    <t>Exibe a mensagem "Nome não pode ser vazio" e a conta não é criada</t>
  </si>
  <si>
    <t>Negativo</t>
  </si>
  <si>
    <t>CT04</t>
  </si>
  <si>
    <t>Cadastro sem preencher Email</t>
  </si>
  <si>
    <t>1) Deixar Email vazio; 2) Preencher Nome, Senha e Confirmação de senha com dados válidos; 3) Clicar em Cadastrar</t>
  </si>
  <si>
    <t>Exibe a mensagem "Email não pode ser vazio" e a conta não é criada</t>
  </si>
  <si>
    <t>CT05</t>
  </si>
  <si>
    <t>Cadastro sem preencher Senha</t>
  </si>
  <si>
    <t>1) Deixar Senha vazia; 2) Preencher Nome, Email e Confirmação de senha; 3) Clicar em Cadastrar</t>
  </si>
  <si>
    <t>Exibe a mensagem "Senha não pode ser vazio" e a conta não é criada</t>
  </si>
  <si>
    <t>CT06</t>
  </si>
  <si>
    <t>Cadastro sem preencher Confirmação de senha</t>
  </si>
  <si>
    <t>1) Deixar Confirmação de senha vazia; 2) Preencher Nome, Email e Senha com dados válidos; 3) Clicar em Cadastrar</t>
  </si>
  <si>
    <t>Exibe a mensagem "Confirmar senha não pode ser vazio" e a conta não é criada</t>
  </si>
  <si>
    <t>CT08</t>
  </si>
  <si>
    <t>Senha e Confirmação de senha diferentes</t>
  </si>
  <si>
    <t>1) Preencher Nome e Email com dados válidos; 2) Preencher Senha "Senha@123"; 3) Preencher Confirmação de senha "Outra@456"; 4) Clicar em Cadastrar</t>
  </si>
  <si>
    <t>Cadastro não é concluído, nenhuma conta é criada e nenhum número de conta é exibido (registrar a mensagem apresentada, pois o requisito não a define)</t>
  </si>
  <si>
    <t>CT10</t>
  </si>
  <si>
    <t>Alternar a opção "Criar conta com saldo" antes de cadastrar (ativar, desativar e ativar)</t>
  </si>
  <si>
    <t>1) Preencher todos os campos com dados válidos; 2) Ativar a opção; 3) Desativar a opção; 4) Ativar a opção novamente; 5) Clicar em Cadastrar</t>
  </si>
  <si>
    <t>Conta criada com saldo de R$ 1.000,00, prevalecendo o último estado da opção</t>
  </si>
  <si>
    <t>Limite</t>
  </si>
  <si>
    <t>Baixa</t>
  </si>
  <si>
    <t>Baixo risco; primeiro candidato a corte se faltar tempo</t>
  </si>
  <si>
    <t>Por que foi eliminado</t>
  </si>
  <si>
    <t>Ponto ambíguo do requisito</t>
  </si>
  <si>
    <t>Dúvida para o produto</t>
  </si>
  <si>
    <t>Como reincluir</t>
  </si>
  <si>
    <t>CT07</t>
  </si>
  <si>
    <t>Cadastro com todos os campos obrigatórios vazios</t>
  </si>
  <si>
    <t>O resultado esperado depende de um comportamento que o requisito não define. Além disso, a classificação "Limite" era discutível: é um cenário negativo combinado, sem valor-limite real.</t>
  </si>
  <si>
    <t>O requisito define uma mensagem por campo, mas não diz se, com vários campos vazios, as mensagens aparecem juntas ou uma por vez, nem em que ordem.</t>
  </si>
  <si>
    <t>D9: as mensagens de erro aparecem juntas ou uma por vez? Existe ordem de prioridade?</t>
  </si>
  <si>
    <t>Reincluir como Negativo quando o produto definir o comportamento de múltiplos erros.</t>
  </si>
  <si>
    <t>CT09</t>
  </si>
  <si>
    <t>Senha e Confirmação diferentes apenas por maiúscula/minúscula</t>
  </si>
  <si>
    <t>O resultado esperado se apoiava em uma suposição minha (comparação sensível a maiúsculas), não em uma regra do requisito. Um teste baseado em suposição pode gerar defeito falso.</t>
  </si>
  <si>
    <t>O requisito diz apenas que senha e confirmação "precisam ser iguais", sem definir se a comparação diferencia maiúsculas de minúsculas.</t>
  </si>
  <si>
    <t>D12: a comparação entre senha e confirmação diferencia maiúsculas de minúsculas?</t>
  </si>
  <si>
    <t>Reincluir como Limite quando a regra for confirmada.</t>
  </si>
  <si>
    <t>CT11</t>
  </si>
  <si>
    <t>Corrigir um campo obrigatório após erro e reenviar</t>
  </si>
  <si>
    <t>Duplica o CT03 com uma etapa a mais e depende de comportamento não especificado (se a mensagem some após a correção, se o formulário mantém os dados).</t>
  </si>
  <si>
    <t>O requisito não descreve o comportamento da tela após um erro de validação nem o pós-cadastro.</t>
  </si>
  <si>
    <t>D10 e D13: o que acontece após o sucesso? O formulário mantém os dados preenchidos após um erro?</t>
  </si>
  <si>
    <t>Reincluir como Positivo quando o comportamento pós-erro estiver definido, ou tratar como teste exploratório.</t>
  </si>
  <si>
    <t>Descrição</t>
  </si>
  <si>
    <t>Casos afetados</t>
  </si>
  <si>
    <t>Responsável</t>
  </si>
  <si>
    <t>Status</t>
  </si>
  <si>
    <t>S1</t>
  </si>
  <si>
    <t>Suposição</t>
  </si>
  <si>
    <t>O saldo pode ser verificado na tela de sucesso ou após login com a conta recém-criada.</t>
  </si>
  <si>
    <t>CT01, CT02, CT10</t>
  </si>
  <si>
    <t>QA</t>
  </si>
  <si>
    <t>Em aberto</t>
  </si>
  <si>
    <t>S2</t>
  </si>
  <si>
    <t>Os textos das mensagens são validados exatamente como escritos no requisito, inclusive "vazio" no masculino.</t>
  </si>
  <si>
    <t>CT03 a CT06</t>
  </si>
  <si>
    <t>S3</t>
  </si>
  <si>
    <t>O estado inicial da opção "Criar conta com saldo" não é definido; os passos ativam ou desativam a opção explicitamente.</t>
  </si>
  <si>
    <t>S4</t>
  </si>
  <si>
    <t>Os dados de teste são exemplos. Usar um e-mail diferente a cada execução para evitar interferência de uma eventual regra de duplicidade.</t>
  </si>
  <si>
    <t>Todos</t>
  </si>
  <si>
    <t>D1</t>
  </si>
  <si>
    <t>Dúvida</t>
  </si>
  <si>
    <t>Existe validação de formato de email? Qual?</t>
  </si>
  <si>
    <t>Não coberto</t>
  </si>
  <si>
    <t>Produto</t>
  </si>
  <si>
    <t>D2</t>
  </si>
  <si>
    <t>Email duplicado é permitido? Se não, qual é a mensagem?</t>
  </si>
  <si>
    <t>D3</t>
  </si>
  <si>
    <t>Qual é a mensagem exibida para senhas diferentes?</t>
  </si>
  <si>
    <t>D4</t>
  </si>
  <si>
    <t>Há regras de tamanho e complexidade para senha, e tamanho máximo para nome e email?</t>
  </si>
  <si>
    <t>D5</t>
  </si>
  <si>
    <t>Espaços nas extremidades e campos só com espaços: como devem ser tratados?</t>
  </si>
  <si>
    <t>D6</t>
  </si>
  <si>
    <t>Qual é o formato e a regra de unicidade do número da conta?</t>
  </si>
  <si>
    <t>CT01, CT02</t>
  </si>
  <si>
    <t>D7</t>
  </si>
  <si>
    <t>Onde o saldo é exibido, e o valor é persistido após login?</t>
  </si>
  <si>
    <t>D8</t>
  </si>
  <si>
    <t>A opção "Criar conta com saldo" começa ativa ou inativa?</t>
  </si>
  <si>
    <t>D9</t>
  </si>
  <si>
    <t>As mensagens de erro aparecem juntas ou uma por vez? Existe ordem de prioridade?</t>
  </si>
  <si>
    <t>CT07 (eliminado)</t>
  </si>
  <si>
    <t>D10</t>
  </si>
  <si>
    <t>O que acontece após o cadastro com sucesso (redirecionamento, limpeza do formulário, texto da mensagem)?</t>
  </si>
  <si>
    <t>CT11 (eliminado)</t>
  </si>
  <si>
    <t>D11</t>
  </si>
  <si>
    <t>Os textos das mensagens, incluindo a concordância "vazio", estão corretos ou são erro de redação? O rótulo oficial é "Confirmação de senha" ou "Confirmar senha"?</t>
  </si>
  <si>
    <t>D12</t>
  </si>
  <si>
    <t>A comparação entre senha e confirmação diferencia maiúsculas de minúsculas?</t>
  </si>
  <si>
    <t>CT09 (eliminado)</t>
  </si>
  <si>
    <t>D13</t>
  </si>
  <si>
    <t>Após um erro de validação, o formulário mantém os dados já preenchidos ou limpa tudo?</t>
  </si>
  <si>
    <t>Passou</t>
  </si>
  <si>
    <r>
      <t xml:space="preserve">Teste executado com sucesso, porém a mensagem exibida diverge da mensagem determinada no requisito. </t>
    </r>
    <r>
      <rPr>
        <b/>
        <sz val="10"/>
        <rFont val="Arial"/>
        <family val="2"/>
      </rPr>
      <t>Mensagem exibida: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"É campo obrigatório" </t>
    </r>
  </si>
  <si>
    <r>
      <t xml:space="preserve">Teste executado com sucesso, porém a mensagem exibida diverge da mensagem determinada no requisito. </t>
    </r>
    <r>
      <rPr>
        <b/>
        <sz val="10"/>
        <rFont val="Arial"/>
        <family val="2"/>
      </rPr>
      <t>Mensagem exibida:</t>
    </r>
    <r>
      <rPr>
        <sz val="10"/>
        <rFont val="Arial"/>
        <charset val="1"/>
      </rPr>
      <t xml:space="preserve"> </t>
    </r>
    <r>
      <rPr>
        <b/>
        <sz val="10"/>
        <color rgb="FFFF0000"/>
        <rFont val="Arial"/>
        <family val="2"/>
      </rPr>
      <t>"É campo obrigatório"</t>
    </r>
    <r>
      <rPr>
        <sz val="10"/>
        <rFont val="Arial"/>
        <charset val="1"/>
      </rPr>
      <t xml:space="preserve"> </t>
    </r>
  </si>
  <si>
    <r>
      <t xml:space="preserve">Teste executado com sucesso, porém a mensagem exibida diverge da mensagem determinada no requisito. </t>
    </r>
    <r>
      <rPr>
        <b/>
        <sz val="10"/>
        <rFont val="Arial"/>
        <family val="2"/>
      </rPr>
      <t xml:space="preserve">Mensagem exibida: </t>
    </r>
    <r>
      <rPr>
        <b/>
        <sz val="10"/>
        <color rgb="FFFF0000"/>
        <rFont val="Arial"/>
        <family val="2"/>
      </rPr>
      <t xml:space="preserve">"É campo obrigatório" </t>
    </r>
  </si>
  <si>
    <t>Falhou</t>
  </si>
  <si>
    <r>
      <t xml:space="preserve">Texto da mensagem em aberto (dúvida D3). </t>
    </r>
    <r>
      <rPr>
        <b/>
        <sz val="10"/>
        <rFont val="Arial"/>
        <family val="2"/>
      </rPr>
      <t xml:space="preserve">Mensagem exibida: </t>
    </r>
    <r>
      <rPr>
        <b/>
        <sz val="10"/>
        <color rgb="FFFF0000"/>
        <rFont val="Arial"/>
        <family val="2"/>
      </rPr>
      <t>"As senhas não são iguais."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</si>
</sst>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="220" zoomScaleNormal="220" workbookViewId="0"/>
  </sheetViews>
  <sheetFormatPr baseColWidth="10" defaultColWidth="8.6640625" defaultRowHeight="15" x14ac:dyDescent="0.2"/>
  <cols>
    <col min="1" max="1" width="38" customWidth="1"/>
    <col min="2" max="2" width="12" customWidth="1"/>
  </cols>
  <sheetData>
    <row r="1" spans="1:2" ht="16" x14ac:dyDescent="0.2">
      <c r="A1" s="1" t="s">
        <v>0</v>
      </c>
    </row>
    <row r="2" spans="1:2" x14ac:dyDescent="0.2">
      <c r="A2" s="2" t="s">
        <v>1</v>
      </c>
      <c r="B2" s="2" t="s">
        <v>2</v>
      </c>
    </row>
    <row r="3" spans="1:2" x14ac:dyDescent="0.2">
      <c r="A3" s="3" t="s">
        <v>3</v>
      </c>
      <c r="B3" s="3">
        <f>B4+B5</f>
        <v>11</v>
      </c>
    </row>
    <row r="4" spans="1:2" x14ac:dyDescent="0.2">
      <c r="A4" s="3" t="s">
        <v>4</v>
      </c>
      <c r="B4" s="3">
        <f>COUNTA('Casos de teste'!A2:A100)</f>
        <v>8</v>
      </c>
    </row>
    <row r="5" spans="1:2" x14ac:dyDescent="0.2">
      <c r="A5" s="3" t="s">
        <v>5</v>
      </c>
      <c r="B5" s="3">
        <f>COUNTA('Casos eliminados'!A2:A100)</f>
        <v>3</v>
      </c>
    </row>
    <row r="6" spans="1:2" x14ac:dyDescent="0.2">
      <c r="A6" s="3" t="s">
        <v>6</v>
      </c>
      <c r="B6" s="3">
        <f>COUNTIF('Casos de teste'!F2:F100,"Positivo")</f>
        <v>2</v>
      </c>
    </row>
    <row r="7" spans="1:2" x14ac:dyDescent="0.2">
      <c r="A7" s="3" t="s">
        <v>7</v>
      </c>
      <c r="B7" s="3">
        <f>COUNTIF('Casos de teste'!F2:F100,"Negativo")</f>
        <v>5</v>
      </c>
    </row>
    <row r="8" spans="1:2" x14ac:dyDescent="0.2">
      <c r="A8" s="3" t="s">
        <v>8</v>
      </c>
      <c r="B8" s="3">
        <f>COUNTIF('Casos de teste'!F2:F100,"Limite")</f>
        <v>1</v>
      </c>
    </row>
    <row r="9" spans="1:2" x14ac:dyDescent="0.2">
      <c r="A9" s="3" t="s">
        <v>9</v>
      </c>
      <c r="B9" s="3">
        <f>COUNTIF('Casos de teste'!G2:G100,"Alta")</f>
        <v>7</v>
      </c>
    </row>
    <row r="10" spans="1:2" x14ac:dyDescent="0.2">
      <c r="A10" s="3" t="s">
        <v>10</v>
      </c>
      <c r="B10" s="3">
        <f>COUNTIFS('Suposições e dúvidas'!B2:B100,"Dúvida",'Suposições e dúvidas'!F2:F100,"Em aberto")</f>
        <v>13</v>
      </c>
    </row>
    <row r="11" spans="1:2" x14ac:dyDescent="0.2">
      <c r="A11" s="3" t="s">
        <v>11</v>
      </c>
      <c r="B11" s="3">
        <f>COUNTIF('Casos de teste'!H2:H100,"Passou")</f>
        <v>5</v>
      </c>
    </row>
    <row r="12" spans="1:2" x14ac:dyDescent="0.2">
      <c r="A12" s="3" t="s">
        <v>12</v>
      </c>
      <c r="B12" s="3">
        <f>COUNTIF('Casos de teste'!H2:H100,"Falhou")</f>
        <v>3</v>
      </c>
    </row>
    <row r="14" spans="1:2" x14ac:dyDescent="0.2">
      <c r="A14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topLeftCell="D1" zoomScale="220" zoomScaleNormal="220" workbookViewId="0">
      <pane ySplit="1" topLeftCell="A2" activePane="bottomLeft" state="frozen"/>
      <selection pane="bottomLeft" activeCell="G13" sqref="G13"/>
    </sheetView>
  </sheetViews>
  <sheetFormatPr baseColWidth="10" defaultColWidth="8.6640625" defaultRowHeight="15" x14ac:dyDescent="0.2"/>
  <cols>
    <col min="1" max="1" width="8" customWidth="1"/>
    <col min="2" max="2" width="38" customWidth="1"/>
    <col min="3" max="3" width="32" customWidth="1"/>
    <col min="4" max="4" width="60" customWidth="1"/>
    <col min="5" max="5" width="48" customWidth="1"/>
    <col min="6" max="6" width="11" customWidth="1"/>
    <col min="7" max="7" width="12" customWidth="1"/>
    <col min="8" max="8" width="18" customWidth="1"/>
    <col min="9" max="9" width="36" customWidth="1"/>
  </cols>
  <sheetData>
    <row r="1" spans="1:9" x14ac:dyDescent="0.2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spans="1:9" ht="56" x14ac:dyDescent="0.2">
      <c r="A2" s="6" t="s">
        <v>23</v>
      </c>
      <c r="B2" s="6" t="s">
        <v>24</v>
      </c>
      <c r="C2" s="6" t="s">
        <v>25</v>
      </c>
      <c r="D2" s="7" t="s">
        <v>26</v>
      </c>
      <c r="E2" s="6" t="s">
        <v>27</v>
      </c>
      <c r="F2" s="6" t="s">
        <v>28</v>
      </c>
      <c r="G2" s="6" t="s">
        <v>29</v>
      </c>
      <c r="H2" s="8" t="s">
        <v>136</v>
      </c>
      <c r="I2" s="6"/>
    </row>
    <row r="3" spans="1:9" ht="42" x14ac:dyDescent="0.2">
      <c r="A3" s="6" t="s">
        <v>30</v>
      </c>
      <c r="B3" s="6" t="s">
        <v>31</v>
      </c>
      <c r="C3" s="6" t="s">
        <v>25</v>
      </c>
      <c r="D3" s="6" t="s">
        <v>32</v>
      </c>
      <c r="E3" s="6" t="s">
        <v>33</v>
      </c>
      <c r="F3" s="6" t="s">
        <v>28</v>
      </c>
      <c r="G3" s="6" t="s">
        <v>29</v>
      </c>
      <c r="H3" s="8" t="s">
        <v>136</v>
      </c>
      <c r="I3" s="6"/>
    </row>
    <row r="4" spans="1:9" ht="28" x14ac:dyDescent="0.2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29</v>
      </c>
      <c r="H4" s="8" t="s">
        <v>136</v>
      </c>
      <c r="I4" s="6"/>
    </row>
    <row r="5" spans="1:9" ht="56" x14ac:dyDescent="0.2">
      <c r="A5" s="6" t="s">
        <v>40</v>
      </c>
      <c r="B5" s="6" t="s">
        <v>41</v>
      </c>
      <c r="C5" s="6" t="s">
        <v>36</v>
      </c>
      <c r="D5" s="6" t="s">
        <v>42</v>
      </c>
      <c r="E5" s="6" t="s">
        <v>43</v>
      </c>
      <c r="F5" s="6" t="s">
        <v>39</v>
      </c>
      <c r="G5" s="6" t="s">
        <v>29</v>
      </c>
      <c r="H5" s="9" t="s">
        <v>140</v>
      </c>
      <c r="I5" s="7" t="s">
        <v>137</v>
      </c>
    </row>
    <row r="6" spans="1:9" ht="60" customHeight="1" x14ac:dyDescent="0.2">
      <c r="A6" s="6" t="s">
        <v>44</v>
      </c>
      <c r="B6" s="6" t="s">
        <v>45</v>
      </c>
      <c r="C6" s="6" t="s">
        <v>36</v>
      </c>
      <c r="D6" s="6" t="s">
        <v>46</v>
      </c>
      <c r="E6" s="6" t="s">
        <v>47</v>
      </c>
      <c r="F6" s="6" t="s">
        <v>39</v>
      </c>
      <c r="G6" s="6" t="s">
        <v>29</v>
      </c>
      <c r="H6" s="9" t="s">
        <v>140</v>
      </c>
      <c r="I6" s="7" t="s">
        <v>138</v>
      </c>
    </row>
    <row r="7" spans="1:9" ht="68" customHeight="1" x14ac:dyDescent="0.2">
      <c r="A7" s="6" t="s">
        <v>48</v>
      </c>
      <c r="B7" s="6" t="s">
        <v>49</v>
      </c>
      <c r="C7" s="6" t="s">
        <v>36</v>
      </c>
      <c r="D7" s="6" t="s">
        <v>50</v>
      </c>
      <c r="E7" s="6" t="s">
        <v>51</v>
      </c>
      <c r="F7" s="6" t="s">
        <v>39</v>
      </c>
      <c r="G7" s="6" t="s">
        <v>29</v>
      </c>
      <c r="H7" s="9" t="s">
        <v>140</v>
      </c>
      <c r="I7" s="7" t="s">
        <v>139</v>
      </c>
    </row>
    <row r="8" spans="1:9" ht="42" x14ac:dyDescent="0.2">
      <c r="A8" s="6" t="s">
        <v>52</v>
      </c>
      <c r="B8" s="6" t="s">
        <v>53</v>
      </c>
      <c r="C8" s="6" t="s">
        <v>36</v>
      </c>
      <c r="D8" s="7" t="s">
        <v>54</v>
      </c>
      <c r="E8" s="6" t="s">
        <v>55</v>
      </c>
      <c r="F8" s="6" t="s">
        <v>39</v>
      </c>
      <c r="G8" s="6" t="s">
        <v>29</v>
      </c>
      <c r="H8" s="6" t="s">
        <v>136</v>
      </c>
      <c r="I8" s="7" t="s">
        <v>141</v>
      </c>
    </row>
    <row r="9" spans="1:9" ht="28" x14ac:dyDescent="0.2">
      <c r="A9" s="6" t="s">
        <v>56</v>
      </c>
      <c r="B9" s="6" t="s">
        <v>57</v>
      </c>
      <c r="C9" s="6" t="s">
        <v>25</v>
      </c>
      <c r="D9" s="6" t="s">
        <v>58</v>
      </c>
      <c r="E9" s="6" t="s">
        <v>59</v>
      </c>
      <c r="F9" s="6" t="s">
        <v>60</v>
      </c>
      <c r="G9" s="6" t="s">
        <v>61</v>
      </c>
      <c r="H9" s="6" t="s">
        <v>136</v>
      </c>
      <c r="I9" s="6" t="s">
        <v>62</v>
      </c>
    </row>
  </sheetData>
  <autoFilter ref="A1:I9" xr:uid="{00000000-0009-0000-0000-000001000000}"/>
  <dataValidations count="1">
    <dataValidation type="list" allowBlank="1" sqref="H2:H9" xr:uid="{00000000-0002-0000-0100-000000000000}">
      <formula1>"Não executado,Passou,Falhou,Bloqueado"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170" zoomScaleNormal="17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38" customWidth="1"/>
    <col min="3" max="3" width="60" customWidth="1"/>
    <col min="4" max="4" width="52" customWidth="1"/>
    <col min="5" max="5" width="46" customWidth="1"/>
    <col min="6" max="6" width="42" customWidth="1"/>
  </cols>
  <sheetData>
    <row r="1" spans="1:6" x14ac:dyDescent="0.2">
      <c r="A1" s="5" t="s">
        <v>14</v>
      </c>
      <c r="B1" s="5" t="s">
        <v>15</v>
      </c>
      <c r="C1" s="5" t="s">
        <v>63</v>
      </c>
      <c r="D1" s="5" t="s">
        <v>64</v>
      </c>
      <c r="E1" s="5" t="s">
        <v>65</v>
      </c>
      <c r="F1" s="5" t="s">
        <v>66</v>
      </c>
    </row>
    <row r="2" spans="1:6" ht="42" x14ac:dyDescent="0.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</row>
    <row r="3" spans="1:6" ht="42" x14ac:dyDescent="0.2">
      <c r="A3" s="6" t="s">
        <v>73</v>
      </c>
      <c r="B3" s="6" t="s">
        <v>74</v>
      </c>
      <c r="C3" s="6" t="s">
        <v>75</v>
      </c>
      <c r="D3" s="6" t="s">
        <v>76</v>
      </c>
      <c r="E3" s="6" t="s">
        <v>77</v>
      </c>
      <c r="F3" s="6" t="s">
        <v>78</v>
      </c>
    </row>
    <row r="4" spans="1:6" ht="42" x14ac:dyDescent="0.2">
      <c r="A4" s="6" t="s">
        <v>79</v>
      </c>
      <c r="B4" s="6" t="s">
        <v>80</v>
      </c>
      <c r="C4" s="6" t="s">
        <v>81</v>
      </c>
      <c r="D4" s="6" t="s">
        <v>82</v>
      </c>
      <c r="E4" s="6" t="s">
        <v>83</v>
      </c>
      <c r="F4" s="6" t="s">
        <v>84</v>
      </c>
    </row>
  </sheetData>
  <autoFilter ref="A1:F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80" customWidth="1"/>
    <col min="4" max="4" width="22" customWidth="1"/>
    <col min="5" max="6" width="14" customWidth="1"/>
  </cols>
  <sheetData>
    <row r="1" spans="1:6" x14ac:dyDescent="0.2">
      <c r="A1" s="5" t="s">
        <v>14</v>
      </c>
      <c r="B1" s="5" t="s">
        <v>19</v>
      </c>
      <c r="C1" s="5" t="s">
        <v>85</v>
      </c>
      <c r="D1" s="5" t="s">
        <v>86</v>
      </c>
      <c r="E1" s="5" t="s">
        <v>87</v>
      </c>
      <c r="F1" s="5" t="s">
        <v>88</v>
      </c>
    </row>
    <row r="2" spans="1:6" x14ac:dyDescent="0.2">
      <c r="A2" s="6" t="s">
        <v>89</v>
      </c>
      <c r="B2" s="6" t="s">
        <v>90</v>
      </c>
      <c r="C2" s="6" t="s">
        <v>91</v>
      </c>
      <c r="D2" s="6" t="s">
        <v>92</v>
      </c>
      <c r="E2" s="6" t="s">
        <v>93</v>
      </c>
      <c r="F2" s="6" t="s">
        <v>94</v>
      </c>
    </row>
    <row r="3" spans="1:6" ht="28" x14ac:dyDescent="0.2">
      <c r="A3" s="6" t="s">
        <v>95</v>
      </c>
      <c r="B3" s="6" t="s">
        <v>90</v>
      </c>
      <c r="C3" s="6" t="s">
        <v>96</v>
      </c>
      <c r="D3" s="6" t="s">
        <v>97</v>
      </c>
      <c r="E3" s="6" t="s">
        <v>93</v>
      </c>
      <c r="F3" s="6" t="s">
        <v>94</v>
      </c>
    </row>
    <row r="4" spans="1:6" ht="28" x14ac:dyDescent="0.2">
      <c r="A4" s="6" t="s">
        <v>98</v>
      </c>
      <c r="B4" s="6" t="s">
        <v>90</v>
      </c>
      <c r="C4" s="6" t="s">
        <v>99</v>
      </c>
      <c r="D4" s="6" t="s">
        <v>92</v>
      </c>
      <c r="E4" s="6" t="s">
        <v>93</v>
      </c>
      <c r="F4" s="6" t="s">
        <v>94</v>
      </c>
    </row>
    <row r="5" spans="1:6" ht="28" x14ac:dyDescent="0.2">
      <c r="A5" s="6" t="s">
        <v>100</v>
      </c>
      <c r="B5" s="6" t="s">
        <v>90</v>
      </c>
      <c r="C5" s="6" t="s">
        <v>101</v>
      </c>
      <c r="D5" s="6" t="s">
        <v>102</v>
      </c>
      <c r="E5" s="6" t="s">
        <v>93</v>
      </c>
      <c r="F5" s="6" t="s">
        <v>94</v>
      </c>
    </row>
    <row r="6" spans="1:6" x14ac:dyDescent="0.2">
      <c r="A6" s="6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94</v>
      </c>
    </row>
    <row r="7" spans="1:6" x14ac:dyDescent="0.2">
      <c r="A7" s="6" t="s">
        <v>108</v>
      </c>
      <c r="B7" s="6" t="s">
        <v>104</v>
      </c>
      <c r="C7" s="6" t="s">
        <v>109</v>
      </c>
      <c r="D7" s="6" t="s">
        <v>106</v>
      </c>
      <c r="E7" s="6" t="s">
        <v>107</v>
      </c>
      <c r="F7" s="6" t="s">
        <v>94</v>
      </c>
    </row>
    <row r="8" spans="1:6" x14ac:dyDescent="0.2">
      <c r="A8" s="6" t="s">
        <v>110</v>
      </c>
      <c r="B8" s="6" t="s">
        <v>104</v>
      </c>
      <c r="C8" s="6" t="s">
        <v>111</v>
      </c>
      <c r="D8" s="6" t="s">
        <v>52</v>
      </c>
      <c r="E8" s="6" t="s">
        <v>107</v>
      </c>
      <c r="F8" s="6" t="s">
        <v>94</v>
      </c>
    </row>
    <row r="9" spans="1:6" x14ac:dyDescent="0.2">
      <c r="A9" s="6" t="s">
        <v>112</v>
      </c>
      <c r="B9" s="6" t="s">
        <v>104</v>
      </c>
      <c r="C9" s="6" t="s">
        <v>113</v>
      </c>
      <c r="D9" s="6" t="s">
        <v>106</v>
      </c>
      <c r="E9" s="6" t="s">
        <v>107</v>
      </c>
      <c r="F9" s="6" t="s">
        <v>94</v>
      </c>
    </row>
    <row r="10" spans="1:6" x14ac:dyDescent="0.2">
      <c r="A10" s="6" t="s">
        <v>114</v>
      </c>
      <c r="B10" s="6" t="s">
        <v>104</v>
      </c>
      <c r="C10" s="6" t="s">
        <v>115</v>
      </c>
      <c r="D10" s="6" t="s">
        <v>106</v>
      </c>
      <c r="E10" s="6" t="s">
        <v>107</v>
      </c>
      <c r="F10" s="6" t="s">
        <v>94</v>
      </c>
    </row>
    <row r="11" spans="1:6" x14ac:dyDescent="0.2">
      <c r="A11" s="6" t="s">
        <v>116</v>
      </c>
      <c r="B11" s="6" t="s">
        <v>104</v>
      </c>
      <c r="C11" s="6" t="s">
        <v>117</v>
      </c>
      <c r="D11" s="6" t="s">
        <v>118</v>
      </c>
      <c r="E11" s="6" t="s">
        <v>107</v>
      </c>
      <c r="F11" s="6" t="s">
        <v>94</v>
      </c>
    </row>
    <row r="12" spans="1:6" x14ac:dyDescent="0.2">
      <c r="A12" s="6" t="s">
        <v>119</v>
      </c>
      <c r="B12" s="6" t="s">
        <v>104</v>
      </c>
      <c r="C12" s="6" t="s">
        <v>120</v>
      </c>
      <c r="D12" s="6" t="s">
        <v>92</v>
      </c>
      <c r="E12" s="6" t="s">
        <v>107</v>
      </c>
      <c r="F12" s="6" t="s">
        <v>94</v>
      </c>
    </row>
    <row r="13" spans="1:6" x14ac:dyDescent="0.2">
      <c r="A13" s="6" t="s">
        <v>121</v>
      </c>
      <c r="B13" s="6" t="s">
        <v>104</v>
      </c>
      <c r="C13" s="6" t="s">
        <v>122</v>
      </c>
      <c r="D13" s="6" t="s">
        <v>92</v>
      </c>
      <c r="E13" s="6" t="s">
        <v>107</v>
      </c>
      <c r="F13" s="6" t="s">
        <v>94</v>
      </c>
    </row>
    <row r="14" spans="1:6" x14ac:dyDescent="0.2">
      <c r="A14" s="6" t="s">
        <v>123</v>
      </c>
      <c r="B14" s="6" t="s">
        <v>104</v>
      </c>
      <c r="C14" s="6" t="s">
        <v>124</v>
      </c>
      <c r="D14" s="6" t="s">
        <v>125</v>
      </c>
      <c r="E14" s="6" t="s">
        <v>107</v>
      </c>
      <c r="F14" s="6" t="s">
        <v>94</v>
      </c>
    </row>
    <row r="15" spans="1:6" ht="28" x14ac:dyDescent="0.2">
      <c r="A15" s="6" t="s">
        <v>126</v>
      </c>
      <c r="B15" s="6" t="s">
        <v>104</v>
      </c>
      <c r="C15" s="6" t="s">
        <v>127</v>
      </c>
      <c r="D15" s="6" t="s">
        <v>128</v>
      </c>
      <c r="E15" s="6" t="s">
        <v>107</v>
      </c>
      <c r="F15" s="6" t="s">
        <v>94</v>
      </c>
    </row>
    <row r="16" spans="1:6" ht="28" x14ac:dyDescent="0.2">
      <c r="A16" s="6" t="s">
        <v>129</v>
      </c>
      <c r="B16" s="6" t="s">
        <v>104</v>
      </c>
      <c r="C16" s="6" t="s">
        <v>130</v>
      </c>
      <c r="D16" s="6" t="s">
        <v>97</v>
      </c>
      <c r="E16" s="6" t="s">
        <v>107</v>
      </c>
      <c r="F16" s="6" t="s">
        <v>94</v>
      </c>
    </row>
    <row r="17" spans="1:6" x14ac:dyDescent="0.2">
      <c r="A17" s="6" t="s">
        <v>131</v>
      </c>
      <c r="B17" s="6" t="s">
        <v>104</v>
      </c>
      <c r="C17" s="6" t="s">
        <v>132</v>
      </c>
      <c r="D17" s="6" t="s">
        <v>133</v>
      </c>
      <c r="E17" s="6" t="s">
        <v>107</v>
      </c>
      <c r="F17" s="6" t="s">
        <v>94</v>
      </c>
    </row>
    <row r="18" spans="1:6" x14ac:dyDescent="0.2">
      <c r="A18" s="6" t="s">
        <v>134</v>
      </c>
      <c r="B18" s="6" t="s">
        <v>104</v>
      </c>
      <c r="C18" s="6" t="s">
        <v>135</v>
      </c>
      <c r="D18" s="6" t="s">
        <v>128</v>
      </c>
      <c r="E18" s="6" t="s">
        <v>107</v>
      </c>
      <c r="F18" s="6" t="s">
        <v>94</v>
      </c>
    </row>
  </sheetData>
  <autoFilter ref="A1:F18" xr:uid="{00000000-0009-0000-0000-000003000000}"/>
  <dataValidations count="1">
    <dataValidation type="list" allowBlank="1" sqref="F2:F18" xr:uid="{00000000-0002-0000-0300-000000000000}">
      <formula1>"Em aberto,Respondida,Descartada"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Casos de teste</vt:lpstr>
      <vt:lpstr>Casos eliminados</vt:lpstr>
      <vt:lpstr>Suposições e dúvidas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Teles</cp:lastModifiedBy>
  <cp:revision>0</cp:revision>
  <dcterms:created xsi:type="dcterms:W3CDTF">2026-09-30T11:51:07Z</dcterms:created>
  <dcterms:modified xsi:type="dcterms:W3CDTF">2026-10-09T20:20:58Z</dcterms:modified>
  <dc:language>en-US</dc:language>
</cp:coreProperties>
</file>